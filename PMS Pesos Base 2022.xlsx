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olinc-my.sharepoint.com/personal/dsilva52_uolinc_com/Documents/Davi - Projetos/PMS/Pipeline/PMS_Hier_Forecast/"/>
    </mc:Choice>
  </mc:AlternateContent>
  <xr:revisionPtr revIDLastSave="13" documentId="8_{99A63FDD-335E-4920-BD1E-D676EBCC2C65}" xr6:coauthVersionLast="47" xr6:coauthVersionMax="47" xr10:uidLastSave="{638E66B5-8F3C-41F9-9E66-F0E33377423C}"/>
  <bookViews>
    <workbookView xWindow="-110" yWindow="-110" windowWidth="19420" windowHeight="11500" tabRatio="500" firstSheet="1" activeTab="3" xr2:uid="{00000000-000D-0000-FFFF-FFFF00000000}"/>
  </bookViews>
  <sheets>
    <sheet name="Legenda" sheetId="1" r:id="rId1"/>
    <sheet name="Brasil e UFs" sheetId="2" r:id="rId2"/>
    <sheet name="UF_AD" sheetId="3" r:id="rId3"/>
    <sheet name="ADs_Setores e Subsetores" sheetId="4" r:id="rId4"/>
    <sheet name="Segmentos" sheetId="5" r:id="rId5"/>
    <sheet name="Turismo_UF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5" l="1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21" i="5" s="1"/>
  <c r="C30" i="4"/>
  <c r="B68" i="3"/>
  <c r="B62" i="3"/>
  <c r="B56" i="3"/>
  <c r="B50" i="3"/>
  <c r="B44" i="3"/>
  <c r="B38" i="3"/>
  <c r="B32" i="3"/>
  <c r="B26" i="3"/>
  <c r="B20" i="3"/>
  <c r="B14" i="3"/>
  <c r="B8" i="3"/>
  <c r="B2" i="3"/>
  <c r="B29" i="2"/>
</calcChain>
</file>

<file path=xl/sharedStrings.xml><?xml version="1.0" encoding="utf-8"?>
<sst xmlns="http://schemas.openxmlformats.org/spreadsheetml/2006/main" count="218" uniqueCount="143">
  <si>
    <r>
      <rPr>
        <b/>
        <sz val="11"/>
        <color theme="1"/>
        <rFont val="Calibri"/>
        <family val="2"/>
        <charset val="1"/>
      </rPr>
      <t xml:space="preserve">1) Brasil e UFs - </t>
    </r>
    <r>
      <rPr>
        <sz val="11"/>
        <color theme="1"/>
        <rFont val="Calibri"/>
        <family val="2"/>
        <charset val="1"/>
      </rPr>
      <t>Participação do volume de serviços das 27 unidades da federação no total do Brasil, a partir da média dos índices de base fixa de 2022 (ano-base).</t>
    </r>
  </si>
  <si>
    <r>
      <rPr>
        <b/>
        <sz val="11"/>
        <color theme="1"/>
        <rFont val="Calibri"/>
        <family val="2"/>
        <charset val="1"/>
      </rPr>
      <t xml:space="preserve">2) UF_AD - </t>
    </r>
    <r>
      <rPr>
        <sz val="11"/>
        <color theme="1"/>
        <rFont val="Calibri"/>
        <family val="2"/>
        <charset val="1"/>
      </rPr>
      <t>Participação do volume de serviços das 5 principais atividades de divulgação, nas 12 UFs em que há publicação de abertura setorial no nível regional, a partir da média dos índices de base fixa de 2022 (ano-base).</t>
    </r>
  </si>
  <si>
    <r>
      <rPr>
        <b/>
        <sz val="11"/>
        <color theme="1"/>
        <rFont val="Calibri"/>
        <family val="2"/>
        <charset val="1"/>
      </rPr>
      <t>3 ) ADs_ Setores e Subsetores -</t>
    </r>
    <r>
      <rPr>
        <sz val="11"/>
        <color theme="1"/>
        <rFont val="Calibri"/>
        <family val="2"/>
        <charset val="1"/>
      </rPr>
      <t xml:space="preserve"> Participação do volume de serviços das 5 principais atividades de divulgação (e suas desagragações) no total do Brasil, a partir da média dos índices de base fixa de 2022 (ano-base).</t>
    </r>
  </si>
  <si>
    <r>
      <rPr>
        <b/>
        <sz val="11"/>
        <color theme="1"/>
        <rFont val="Calibri"/>
        <family val="2"/>
        <charset val="1"/>
      </rPr>
      <t xml:space="preserve">4) Segmentos - </t>
    </r>
    <r>
      <rPr>
        <sz val="11"/>
        <color theme="1"/>
        <rFont val="Calibri"/>
        <family val="2"/>
        <charset val="1"/>
      </rPr>
      <t>Participação do volume de serviços nos 19 segmentos de serviços mais desagregados no total do Brasil, a partir da média dos índices de base fixa de 2022 (ano-base).</t>
    </r>
  </si>
  <si>
    <r>
      <rPr>
        <b/>
        <sz val="11"/>
        <color theme="1"/>
        <rFont val="Calibri"/>
        <family val="2"/>
        <charset val="1"/>
      </rPr>
      <t>5) Turismo_UFs -</t>
    </r>
    <r>
      <rPr>
        <sz val="11"/>
        <color theme="1"/>
        <rFont val="Calibri"/>
        <family val="2"/>
        <charset val="1"/>
      </rPr>
      <t xml:space="preserve"> Participação do volume das atividades turísticas, em cada uma das 12 UFs em que há publicação deste agregado especial, no total do Brasil, a partir da média dos índices de base fixa de 2022 (ano-base).</t>
    </r>
  </si>
  <si>
    <t>Unidade da Federação</t>
  </si>
  <si>
    <t>Part.Vol (Base 2022)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</si>
  <si>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</si>
  <si>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</si>
  <si>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</si>
  <si>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</si>
  <si>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</si>
  <si>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</si>
  <si>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</si>
  <si>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</si>
  <si>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</si>
  <si>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</si>
  <si>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</si>
  <si>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</si>
  <si>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</si>
  <si>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</si>
  <si>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</si>
  <si>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</si>
  <si>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</si>
  <si>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</si>
  <si>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</si>
  <si>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</si>
  <si>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</si>
  <si>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</si>
  <si>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</si>
  <si>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</si>
  <si>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</si>
  <si>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</si>
  <si>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</si>
  <si>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BRASIL</t>
  </si>
  <si>
    <t>Unidade da Federação / Atividade de Divulgação</t>
  </si>
  <si>
    <t>Pesos_vol (Base 2022)</t>
  </si>
  <si>
    <t>CEARÁ</t>
  </si>
  <si>
    <t>Serviços prestados às famílias</t>
  </si>
  <si>
    <t>Serviços de informação e comunicação</t>
  </si>
  <si>
    <t>Serviços profissionais, administrativos  e complementares</t>
  </si>
  <si>
    <t>Transportes, serviços auxiliares dos transportes e correio</t>
  </si>
  <si>
    <t>Outros serviços</t>
  </si>
  <si>
    <t>PERNAMBUCO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</si>
  <si>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</si>
  <si>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</si>
  <si>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</si>
  <si>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</si>
  <si>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</si>
  <si>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</si>
  <si>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</si>
  <si>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</si>
  <si>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GOIÁS</t>
  </si>
  <si>
    <t>DSITRITO FEDERAL</t>
  </si>
  <si>
    <t>Códigos</t>
  </si>
  <si>
    <t>Setores e Subsetores</t>
  </si>
  <si>
    <t>Participação Vol (Base 2022)</t>
  </si>
  <si>
    <t>AD1</t>
  </si>
  <si>
    <t xml:space="preserve">  AD11</t>
  </si>
  <si>
    <t>Serviços de alojamento e alimentação</t>
  </si>
  <si>
    <t xml:space="preserve">    AD111</t>
  </si>
  <si>
    <t>Alojamento</t>
  </si>
  <si>
    <t xml:space="preserve">    AD112</t>
  </si>
  <si>
    <t>Alimentação</t>
  </si>
  <si>
    <t xml:space="preserve">  AD12</t>
  </si>
  <si>
    <t>Outros serviços prestados às famílias</t>
  </si>
  <si>
    <t>AD2</t>
  </si>
  <si>
    <t xml:space="preserve">  AD21</t>
  </si>
  <si>
    <t xml:space="preserve">    AD211</t>
  </si>
  <si>
    <t>Telecomunicações</t>
  </si>
  <si>
    <t xml:space="preserve">    AD212</t>
  </si>
  <si>
    <t xml:space="preserve">  AD22</t>
  </si>
  <si>
    <t>Serviços audiovisuais, de edição e agências de notícias</t>
  </si>
  <si>
    <t>AD3</t>
  </si>
  <si>
    <t xml:space="preserve">  AD31</t>
  </si>
  <si>
    <t>Serviços técnico-profissionais</t>
  </si>
  <si>
    <t xml:space="preserve">  AD32</t>
  </si>
  <si>
    <t>Serviços administrativos e complementares</t>
  </si>
  <si>
    <t xml:space="preserve">    AD321</t>
  </si>
  <si>
    <t>Aluguéis não imobiliários</t>
  </si>
  <si>
    <t xml:space="preserve">    AD322</t>
  </si>
  <si>
    <t>Serviços de apoio às atividades empresariais</t>
  </si>
  <si>
    <t>AD4</t>
  </si>
  <si>
    <t>Transportes, serviços auxiliares aos transportes e correio</t>
  </si>
  <si>
    <t xml:space="preserve">  AD41</t>
  </si>
  <si>
    <t>Transporte terrestre</t>
  </si>
  <si>
    <t xml:space="preserve">    AD411</t>
  </si>
  <si>
    <t>Rodoviário de cargas</t>
  </si>
  <si>
    <t xml:space="preserve">    AD412</t>
  </si>
  <si>
    <t>Rodoviário de passageiros</t>
  </si>
  <si>
    <t xml:space="preserve">    AD413</t>
  </si>
  <si>
    <t>Outros segmentos do transporte terrestre</t>
  </si>
  <si>
    <t xml:space="preserve">  AD42</t>
  </si>
  <si>
    <t>Transporte aquaviário</t>
  </si>
  <si>
    <t xml:space="preserve">  AD43</t>
  </si>
  <si>
    <t>Transporte aéreo</t>
  </si>
  <si>
    <t xml:space="preserve">  AD44</t>
  </si>
  <si>
    <t>Armazenagem, serviços auxiliares aos transportes e correio</t>
  </si>
  <si>
    <t>AD5</t>
  </si>
  <si>
    <t xml:space="preserve">  AD51</t>
  </si>
  <si>
    <t>Esgoto, gestão de resíduos, recuperação de materiais e descontaminação</t>
  </si>
  <si>
    <t xml:space="preserve">  AD52</t>
  </si>
  <si>
    <t>Atividades auxiliares dos serviços financeiros</t>
  </si>
  <si>
    <t xml:space="preserve">  AD53</t>
  </si>
  <si>
    <t>Atividades imobiliárias</t>
  </si>
  <si>
    <t xml:space="preserve">  AD54</t>
  </si>
  <si>
    <t>Outros serviços não especificados anteriormente</t>
  </si>
  <si>
    <t>Setores</t>
  </si>
  <si>
    <t>Segmentos de serviços</t>
  </si>
  <si>
    <t>Famílias</t>
  </si>
  <si>
    <t>1) Alojamento</t>
  </si>
  <si>
    <t>2) Alimentação</t>
  </si>
  <si>
    <t>3) Outros serviços prestados às famílias</t>
  </si>
  <si>
    <t>Informação e comunicação</t>
  </si>
  <si>
    <t>4) Telecomunicações</t>
  </si>
  <si>
    <t>5) Serviços de tecnologia da informação</t>
  </si>
  <si>
    <t>6) Serviços audiovisuais</t>
  </si>
  <si>
    <t>Profissionais e administrativos</t>
  </si>
  <si>
    <t>7) Serviços técnico-profissionais</t>
  </si>
  <si>
    <t>8) Aluguéis não imobiliários</t>
  </si>
  <si>
    <t>9) Serviços de apoio às atividades empresariais</t>
  </si>
  <si>
    <t>Transportes</t>
  </si>
  <si>
    <t>10) Rodoviário de cargas</t>
  </si>
  <si>
    <t>11) Rodoviário de passageiros</t>
  </si>
  <si>
    <t>12) Outros segmentos do transporte terrestre</t>
  </si>
  <si>
    <t>13) Transporte Aquaviário</t>
  </si>
  <si>
    <t>14) Transporte Aéreo</t>
  </si>
  <si>
    <t>15) Armazenagem, serv. aux. aos transportes e correio</t>
  </si>
  <si>
    <t>16) Esgoto, gestão de resíduos, recuperação de materiais e descontaminação</t>
  </si>
  <si>
    <t>17) Atividades auxiliares dos serviços financeiros</t>
  </si>
  <si>
    <t>18) Atividades imobiliárias</t>
  </si>
  <si>
    <t>19) Outros serviços não especificados anteriormente</t>
  </si>
  <si>
    <t>Pesos_volume (Base 2022)</t>
  </si>
  <si>
    <t>AMAZONAS</t>
  </si>
  <si>
    <t>PARÁ</t>
  </si>
  <si>
    <t>RIO GRANDE DO NORTE</t>
  </si>
  <si>
    <t>ALAGOAS</t>
  </si>
  <si>
    <t>MATO GROSSO</t>
  </si>
  <si>
    <t>DISTRITO FEDERAL</t>
  </si>
  <si>
    <t>RESTO DAS UFS</t>
  </si>
  <si>
    <t>Serviços de Tecnologia de Informação e Comunicação (TIC)</t>
  </si>
  <si>
    <t>Serviços de Tecnologia da Informação</t>
  </si>
  <si>
    <t>Serviços profissionais, administrativos e complementares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</si>
</sst>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11" x14ac:knownFonts="1">
    <font>
      <sz val="11"/>
      <color rgb="FF000000"/>
      <name val="Aptos Narrow"/>
      <family val="2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9"/>
      <name val="Calibri Light"/>
      <family val="1"/>
      <charset val="1"/>
    </font>
    <font>
      <b/>
      <sz val="10"/>
      <name val="Arial"/>
      <family val="2"/>
      <charset val="1"/>
    </font>
    <font>
      <sz val="12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4"/>
        <bgColor rgb="FF666699"/>
      </patternFill>
    </fill>
    <fill>
      <patternFill patternType="solid">
        <fgColor rgb="FF00B050"/>
        <bgColor rgb="FF008080"/>
      </patternFill>
    </fill>
    <fill>
      <patternFill patternType="solid">
        <fgColor theme="4" tint="0.39988402966399123"/>
        <bgColor rgb="FFAFABAB"/>
      </patternFill>
    </fill>
    <fill>
      <patternFill patternType="solid">
        <fgColor theme="9" tint="0.39988402966399123"/>
        <bgColor rgb="FFAFABAB"/>
      </patternFill>
    </fill>
    <fill>
      <patternFill patternType="solid">
        <fgColor theme="7" tint="0.39988402966399123"/>
        <bgColor rgb="FFF4B183"/>
      </patternFill>
    </fill>
    <fill>
      <patternFill patternType="solid">
        <fgColor theme="5" tint="0.39988402966399123"/>
        <bgColor rgb="FFFFD966"/>
      </patternFill>
    </fill>
    <fill>
      <patternFill patternType="solid">
        <fgColor theme="2" tint="-0.249977111117893"/>
        <bgColor rgb="FF96969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9" fontId="10" fillId="0" borderId="0" applyBorder="0" applyProtection="0"/>
    <xf numFmtId="0" fontId="1" fillId="0" borderId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</cellStyleXfs>
  <cellXfs count="42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10" fontId="0" fillId="0" borderId="0" xfId="0" applyNumberFormat="1"/>
    <xf numFmtId="0" fontId="2" fillId="3" borderId="0" xfId="0" applyFont="1" applyFill="1"/>
    <xf numFmtId="10" fontId="2" fillId="3" borderId="0" xfId="0" applyNumberFormat="1" applyFont="1" applyFill="1"/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10" fontId="0" fillId="0" borderId="1" xfId="0" applyNumberFormat="1" applyBorder="1"/>
    <xf numFmtId="165" fontId="3" fillId="0" borderId="0" xfId="4" applyNumberFormat="1" applyFont="1" applyBorder="1" applyProtection="1"/>
    <xf numFmtId="0" fontId="6" fillId="0" borderId="3" xfId="0" applyFont="1" applyBorder="1"/>
    <xf numFmtId="10" fontId="3" fillId="0" borderId="0" xfId="1" applyNumberFormat="1" applyFont="1" applyBorder="1" applyProtection="1"/>
    <xf numFmtId="0" fontId="6" fillId="0" borderId="4" xfId="0" applyFont="1" applyBorder="1"/>
    <xf numFmtId="0" fontId="6" fillId="0" borderId="5" xfId="0" applyFont="1" applyBorder="1"/>
    <xf numFmtId="0" fontId="7" fillId="2" borderId="0" xfId="0" applyFont="1" applyFill="1" applyAlignment="1">
      <alignment horizontal="center"/>
    </xf>
    <xf numFmtId="49" fontId="0" fillId="5" borderId="0" xfId="0" applyNumberFormat="1" applyFill="1" applyAlignment="1">
      <alignment horizontal="left"/>
    </xf>
    <xf numFmtId="10" fontId="3" fillId="5" borderId="0" xfId="1" applyNumberFormat="1" applyFont="1" applyFill="1" applyBorder="1" applyAlignment="1" applyProtection="1">
      <alignment horizontal="center"/>
    </xf>
    <xf numFmtId="49" fontId="0" fillId="0" borderId="0" xfId="0" applyNumberFormat="1" applyAlignment="1">
      <alignment horizontal="left"/>
    </xf>
    <xf numFmtId="10" fontId="3" fillId="0" borderId="0" xfId="1" applyNumberFormat="1" applyFont="1" applyBorder="1" applyAlignment="1" applyProtection="1">
      <alignment horizontal="center"/>
    </xf>
    <xf numFmtId="0" fontId="0" fillId="3" borderId="0" xfId="0" applyFill="1"/>
    <xf numFmtId="0" fontId="7" fillId="3" borderId="0" xfId="0" applyFont="1" applyFill="1" applyAlignment="1">
      <alignment horizontal="center"/>
    </xf>
    <xf numFmtId="10" fontId="7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49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center"/>
    </xf>
    <xf numFmtId="0" fontId="8" fillId="0" borderId="6" xfId="0" applyFont="1" applyBorder="1"/>
    <xf numFmtId="10" fontId="0" fillId="0" borderId="6" xfId="0" applyNumberFormat="1" applyBorder="1" applyAlignment="1">
      <alignment horizontal="center"/>
    </xf>
    <xf numFmtId="0" fontId="8" fillId="0" borderId="4" xfId="0" applyFont="1" applyBorder="1"/>
    <xf numFmtId="10" fontId="0" fillId="0" borderId="4" xfId="0" applyNumberFormat="1" applyBorder="1" applyAlignment="1">
      <alignment horizontal="center"/>
    </xf>
    <xf numFmtId="0" fontId="8" fillId="0" borderId="0" xfId="0" applyFont="1"/>
    <xf numFmtId="0" fontId="0" fillId="0" borderId="6" xfId="0" applyBorder="1"/>
    <xf numFmtId="10" fontId="2" fillId="3" borderId="0" xfId="0" applyNumberFormat="1" applyFont="1" applyFill="1" applyAlignment="1">
      <alignment horizontal="center"/>
    </xf>
    <xf numFmtId="0" fontId="0" fillId="0" borderId="1" xfId="0" applyBorder="1" applyAlignment="1">
      <alignment horizontal="left"/>
    </xf>
    <xf numFmtId="10" fontId="3" fillId="0" borderId="1" xfId="1" applyNumberFormat="1" applyFont="1" applyBorder="1" applyAlignment="1" applyProtection="1">
      <alignment horizont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2" xr:uid="{00000000-0005-0000-0000-000006000000}"/>
    <cellStyle name="Porcentagem" xfId="1" builtinId="5"/>
    <cellStyle name="Vírgula 2" xfId="3" xr:uid="{00000000-0005-0000-0000-000007000000}"/>
    <cellStyle name="Vírgula 2 2" xfId="4" xr:uid="{00000000-0005-0000-0000-000008000000}"/>
    <cellStyle name="Vírgula 3" xfId="5" xr:uid="{00000000-0005-0000-0000-000009000000}"/>
    <cellStyle name="Vírgula 4" xfId="6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4B183"/>
      <rgbColor rgb="FFCC99FF"/>
      <rgbColor rgb="FFFFD966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showGridLines="0" zoomScaleNormal="100" workbookViewId="0">
      <selection activeCell="B12" sqref="B12"/>
    </sheetView>
  </sheetViews>
  <sheetFormatPr defaultColWidth="9.54296875"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showGridLines="0" zoomScaleNormal="100" workbookViewId="0">
      <selection activeCell="I18" sqref="I18"/>
    </sheetView>
  </sheetViews>
  <sheetFormatPr defaultColWidth="9.54296875" defaultRowHeight="14.5" x14ac:dyDescent="0.35"/>
  <cols>
    <col min="1" max="1" width="23.26953125" customWidth="1"/>
    <col min="2" max="2" width="27.453125" customWidth="1"/>
  </cols>
  <sheetData>
    <row r="1" spans="1:2" x14ac:dyDescent="0.35">
      <c r="A1" s="2" t="s">
        <v>5</v>
      </c>
      <c r="B1" s="2" t="s">
        <v>6</v>
      </c>
    </row>
    <row r="2" spans="1:2" x14ac:dyDescent="0.35">
      <c r="A2" t="s">
        <v>7</v>
      </c>
      <c r="B2" s="3">
        <v>2.0443303307719398E-3</v>
      </c>
    </row>
    <row r="3" spans="1:2" x14ac:dyDescent="0.35">
      <c r="A3" t="s">
        <v>8</v>
      </c>
      <c r="B3" s="3">
        <v>7.9246517844472396E-4</v>
      </c>
    </row>
    <row r="4" spans="1:2" x14ac:dyDescent="0.35">
      <c r="A4" t="s">
        <v>9</v>
      </c>
      <c r="B4" s="3">
        <v>1.13834991585195E-2</v>
      </c>
    </row>
    <row r="5" spans="1:2" x14ac:dyDescent="0.35">
      <c r="A5" t="s">
        <v>10</v>
      </c>
      <c r="B5" s="3">
        <v>7.7520226666318004E-4</v>
      </c>
    </row>
    <row r="6" spans="1:2" x14ac:dyDescent="0.35">
      <c r="A6" t="s">
        <v>11</v>
      </c>
      <c r="B6" s="3">
        <v>1.08656758695925E-2</v>
      </c>
    </row>
    <row r="7" spans="1:2" x14ac:dyDescent="0.35">
      <c r="A7" t="s">
        <v>12</v>
      </c>
      <c r="B7" s="3">
        <v>7.17607540233852E-4</v>
      </c>
    </row>
    <row r="8" spans="1:2" x14ac:dyDescent="0.35">
      <c r="A8" t="s">
        <v>13</v>
      </c>
      <c r="B8" s="3">
        <v>2.00167035828356E-3</v>
      </c>
    </row>
    <row r="9" spans="1:2" x14ac:dyDescent="0.35">
      <c r="A9" t="s">
        <v>14</v>
      </c>
      <c r="B9" s="3">
        <v>6.8577068906075902E-3</v>
      </c>
    </row>
    <row r="10" spans="1:2" x14ac:dyDescent="0.35">
      <c r="A10" t="s">
        <v>15</v>
      </c>
      <c r="B10" s="3">
        <v>2.8251263283430501E-3</v>
      </c>
    </row>
    <row r="11" spans="1:2" x14ac:dyDescent="0.35">
      <c r="A11" t="s">
        <v>16</v>
      </c>
      <c r="B11" s="3">
        <v>1.71776003393826E-2</v>
      </c>
    </row>
    <row r="12" spans="1:2" x14ac:dyDescent="0.35">
      <c r="A12" t="s">
        <v>17</v>
      </c>
      <c r="B12" s="3">
        <v>4.7526007463005301E-3</v>
      </c>
    </row>
    <row r="13" spans="1:2" x14ac:dyDescent="0.35">
      <c r="A13" t="s">
        <v>18</v>
      </c>
      <c r="B13" s="3">
        <v>4.0973705063418802E-3</v>
      </c>
    </row>
    <row r="14" spans="1:2" x14ac:dyDescent="0.35">
      <c r="A14" t="s">
        <v>19</v>
      </c>
      <c r="B14" s="3">
        <v>2.0300776602931801E-2</v>
      </c>
    </row>
    <row r="15" spans="1:2" x14ac:dyDescent="0.35">
      <c r="A15" t="s">
        <v>20</v>
      </c>
      <c r="B15" s="3">
        <v>4.0572729251000502E-3</v>
      </c>
    </row>
    <row r="16" spans="1:2" x14ac:dyDescent="0.35">
      <c r="A16" t="s">
        <v>21</v>
      </c>
      <c r="B16" s="3">
        <v>3.1014121095128198E-3</v>
      </c>
    </row>
    <row r="17" spans="1:2" x14ac:dyDescent="0.35">
      <c r="A17" t="s">
        <v>22</v>
      </c>
      <c r="B17" s="3">
        <v>2.7222052933985899E-2</v>
      </c>
    </row>
    <row r="18" spans="1:2" x14ac:dyDescent="0.35">
      <c r="A18" t="s">
        <v>23</v>
      </c>
      <c r="B18" s="3">
        <v>7.2813959071350298E-2</v>
      </c>
    </row>
    <row r="19" spans="1:2" x14ac:dyDescent="0.35">
      <c r="A19" t="s">
        <v>24</v>
      </c>
      <c r="B19" s="3">
        <v>1.4443577771237E-2</v>
      </c>
    </row>
    <row r="20" spans="1:2" x14ac:dyDescent="0.35">
      <c r="A20" t="s">
        <v>25</v>
      </c>
      <c r="B20" s="3">
        <v>0.11497777480686</v>
      </c>
    </row>
    <row r="21" spans="1:2" x14ac:dyDescent="0.35">
      <c r="A21" t="s">
        <v>26</v>
      </c>
      <c r="B21" s="3">
        <v>0.47881294951794101</v>
      </c>
    </row>
    <row r="22" spans="1:2" x14ac:dyDescent="0.35">
      <c r="A22" t="s">
        <v>27</v>
      </c>
      <c r="B22" s="3">
        <v>5.00561399555828E-2</v>
      </c>
    </row>
    <row r="23" spans="1:2" x14ac:dyDescent="0.35">
      <c r="A23" t="s">
        <v>28</v>
      </c>
      <c r="B23" s="3">
        <v>3.3372764766921602E-2</v>
      </c>
    </row>
    <row r="24" spans="1:2" x14ac:dyDescent="0.35">
      <c r="A24" t="s">
        <v>29</v>
      </c>
      <c r="B24" s="3">
        <v>4.5759666410878697E-2</v>
      </c>
    </row>
    <row r="25" spans="1:2" x14ac:dyDescent="0.35">
      <c r="A25" t="s">
        <v>30</v>
      </c>
      <c r="B25" s="3">
        <v>1.06103947239297E-2</v>
      </c>
    </row>
    <row r="26" spans="1:2" x14ac:dyDescent="0.35">
      <c r="A26" t="s">
        <v>31</v>
      </c>
      <c r="B26" s="3">
        <v>1.7861866563183199E-2</v>
      </c>
    </row>
    <row r="27" spans="1:2" x14ac:dyDescent="0.35">
      <c r="A27" t="s">
        <v>32</v>
      </c>
      <c r="B27" s="3">
        <v>1.7653630098567501E-2</v>
      </c>
    </row>
    <row r="28" spans="1:2" x14ac:dyDescent="0.35">
      <c r="A28" t="s">
        <v>33</v>
      </c>
      <c r="B28" s="3">
        <v>2.4664906228532402E-2</v>
      </c>
    </row>
    <row r="29" spans="1:2" x14ac:dyDescent="0.35">
      <c r="A29" s="4" t="s">
        <v>34</v>
      </c>
      <c r="B29" s="5">
        <f>SUM(B2:B28)</f>
        <v>0.99999999999999978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"/>
  <sheetViews>
    <sheetView showGridLines="0" zoomScaleNormal="100" workbookViewId="0">
      <selection activeCell="C25" sqref="C25"/>
    </sheetView>
  </sheetViews>
  <sheetFormatPr defaultColWidth="9.54296875" defaultRowHeight="14.5" x14ac:dyDescent="0.35"/>
  <cols>
    <col min="1" max="1" width="56.7265625" customWidth="1"/>
    <col min="2" max="2" width="22.81640625" customWidth="1"/>
    <col min="3" max="3" width="17" customWidth="1"/>
  </cols>
  <sheetData>
    <row r="1" spans="1:4" x14ac:dyDescent="0.35">
      <c r="A1" s="6" t="s">
        <v>35</v>
      </c>
      <c r="B1" s="6" t="s">
        <v>36</v>
      </c>
    </row>
    <row r="2" spans="1:4" x14ac:dyDescent="0.35">
      <c r="A2" s="7" t="s">
        <v>37</v>
      </c>
      <c r="B2" s="8">
        <f>SUM(B3:B7)</f>
        <v>0.99999999999999978</v>
      </c>
      <c r="C2" s="9"/>
    </row>
    <row r="3" spans="1:4" x14ac:dyDescent="0.35">
      <c r="A3" s="10" t="s">
        <v>38</v>
      </c>
      <c r="B3" s="8">
        <v>0.104691853553409</v>
      </c>
      <c r="C3" s="9"/>
      <c r="D3" s="11"/>
    </row>
    <row r="4" spans="1:4" x14ac:dyDescent="0.35">
      <c r="A4" s="10" t="s">
        <v>39</v>
      </c>
      <c r="B4" s="8">
        <v>0.20072553341734301</v>
      </c>
      <c r="C4" s="9"/>
      <c r="D4" s="11"/>
    </row>
    <row r="5" spans="1:4" x14ac:dyDescent="0.35">
      <c r="A5" s="10" t="s">
        <v>40</v>
      </c>
      <c r="B5" s="8">
        <v>0.320265677734135</v>
      </c>
      <c r="C5" s="9"/>
      <c r="D5" s="11"/>
    </row>
    <row r="6" spans="1:4" x14ac:dyDescent="0.35">
      <c r="A6" s="10" t="s">
        <v>41</v>
      </c>
      <c r="B6" s="8">
        <v>0.30076525542958599</v>
      </c>
      <c r="C6" s="9"/>
      <c r="D6" s="11"/>
    </row>
    <row r="7" spans="1:4" x14ac:dyDescent="0.35">
      <c r="A7" s="12" t="s">
        <v>42</v>
      </c>
      <c r="B7" s="8">
        <v>7.3551679865526798E-2</v>
      </c>
      <c r="C7" s="9"/>
      <c r="D7" s="11"/>
    </row>
    <row r="8" spans="1:4" x14ac:dyDescent="0.35">
      <c r="A8" s="7" t="s">
        <v>43</v>
      </c>
      <c r="B8" s="8">
        <f>SUM(B9:B13)</f>
        <v>1.0000000000000007</v>
      </c>
      <c r="C8" s="9"/>
    </row>
    <row r="9" spans="1:4" x14ac:dyDescent="0.35">
      <c r="A9" s="10" t="s">
        <v>38</v>
      </c>
      <c r="B9" s="8">
        <v>0.119982736590324</v>
      </c>
      <c r="C9" s="9"/>
      <c r="D9" s="11"/>
    </row>
    <row r="10" spans="1:4" x14ac:dyDescent="0.35">
      <c r="A10" s="10" t="s">
        <v>39</v>
      </c>
      <c r="B10" s="8">
        <v>0.17857085154081601</v>
      </c>
      <c r="C10" s="9"/>
      <c r="D10" s="11"/>
    </row>
    <row r="11" spans="1:4" x14ac:dyDescent="0.35">
      <c r="A11" s="10" t="s">
        <v>40</v>
      </c>
      <c r="B11" s="8">
        <v>0.24263466104363501</v>
      </c>
      <c r="C11" s="9"/>
      <c r="D11" s="11"/>
    </row>
    <row r="12" spans="1:4" x14ac:dyDescent="0.35">
      <c r="A12" s="10" t="s">
        <v>41</v>
      </c>
      <c r="B12" s="8">
        <v>0.38801925796504</v>
      </c>
      <c r="C12" s="9"/>
      <c r="D12" s="11"/>
    </row>
    <row r="13" spans="1:4" x14ac:dyDescent="0.35">
      <c r="A13" s="12" t="s">
        <v>42</v>
      </c>
      <c r="B13" s="8">
        <v>7.0792492860185602E-2</v>
      </c>
      <c r="C13" s="9"/>
      <c r="D13" s="11"/>
    </row>
    <row r="14" spans="1:4" x14ac:dyDescent="0.35">
      <c r="A14" s="7" t="s">
        <v>44</v>
      </c>
      <c r="B14" s="8">
        <f>SUM(B15:B19)</f>
        <v>1</v>
      </c>
      <c r="C14" s="9"/>
    </row>
    <row r="15" spans="1:4" x14ac:dyDescent="0.35">
      <c r="A15" s="10" t="s">
        <v>38</v>
      </c>
      <c r="B15" s="8">
        <v>0.12593680193538401</v>
      </c>
      <c r="C15" s="9"/>
      <c r="D15" s="11"/>
    </row>
    <row r="16" spans="1:4" x14ac:dyDescent="0.35">
      <c r="A16" s="10" t="s">
        <v>39</v>
      </c>
      <c r="B16" s="8">
        <v>0.14230936204917699</v>
      </c>
      <c r="C16" s="9"/>
      <c r="D16" s="11"/>
    </row>
    <row r="17" spans="1:4" x14ac:dyDescent="0.35">
      <c r="A17" s="10" t="s">
        <v>40</v>
      </c>
      <c r="B17" s="8">
        <v>0.22583841233228399</v>
      </c>
      <c r="C17" s="9"/>
      <c r="D17" s="11"/>
    </row>
    <row r="18" spans="1:4" x14ac:dyDescent="0.35">
      <c r="A18" s="10" t="s">
        <v>41</v>
      </c>
      <c r="B18" s="8">
        <v>0.464043845102039</v>
      </c>
      <c r="C18" s="9"/>
      <c r="D18" s="11"/>
    </row>
    <row r="19" spans="1:4" x14ac:dyDescent="0.35">
      <c r="A19" s="13" t="s">
        <v>42</v>
      </c>
      <c r="B19" s="8">
        <v>4.1871578581116099E-2</v>
      </c>
      <c r="C19" s="9"/>
      <c r="D19" s="11"/>
    </row>
    <row r="20" spans="1:4" x14ac:dyDescent="0.35">
      <c r="A20" s="7" t="s">
        <v>45</v>
      </c>
      <c r="B20" s="8">
        <f>SUM(B21:B25)</f>
        <v>1.0000000000000013</v>
      </c>
      <c r="C20" s="9"/>
    </row>
    <row r="21" spans="1:4" x14ac:dyDescent="0.35">
      <c r="A21" s="10" t="s">
        <v>38</v>
      </c>
      <c r="B21" s="8">
        <v>6.7334487188275796E-2</v>
      </c>
      <c r="C21" s="9"/>
      <c r="D21" s="11"/>
    </row>
    <row r="22" spans="1:4" x14ac:dyDescent="0.35">
      <c r="A22" s="10" t="s">
        <v>39</v>
      </c>
      <c r="B22" s="8">
        <v>0.22995759655957301</v>
      </c>
      <c r="C22" s="9"/>
      <c r="D22" s="11"/>
    </row>
    <row r="23" spans="1:4" x14ac:dyDescent="0.35">
      <c r="A23" s="10" t="s">
        <v>40</v>
      </c>
      <c r="B23" s="8">
        <v>0.23657964356622699</v>
      </c>
      <c r="C23" s="9"/>
      <c r="D23" s="11"/>
    </row>
    <row r="24" spans="1:4" x14ac:dyDescent="0.35">
      <c r="A24" s="10" t="s">
        <v>41</v>
      </c>
      <c r="B24" s="8">
        <v>0.39668594169893201</v>
      </c>
      <c r="C24" s="9"/>
      <c r="D24" s="11"/>
    </row>
    <row r="25" spans="1:4" x14ac:dyDescent="0.35">
      <c r="A25" s="12" t="s">
        <v>42</v>
      </c>
      <c r="B25" s="8">
        <v>6.94423309869934E-2</v>
      </c>
      <c r="C25" s="9"/>
      <c r="D25" s="11"/>
    </row>
    <row r="26" spans="1:4" x14ac:dyDescent="0.35">
      <c r="A26" s="7" t="s">
        <v>46</v>
      </c>
      <c r="B26" s="8">
        <f>SUM(B27:B31)</f>
        <v>1</v>
      </c>
      <c r="C26" s="9"/>
    </row>
    <row r="27" spans="1:4" x14ac:dyDescent="0.35">
      <c r="A27" s="10" t="s">
        <v>38</v>
      </c>
      <c r="B27" s="8">
        <v>8.7392750867808094E-2</v>
      </c>
      <c r="C27" s="9"/>
      <c r="D27" s="11"/>
    </row>
    <row r="28" spans="1:4" x14ac:dyDescent="0.35">
      <c r="A28" s="10" t="s">
        <v>39</v>
      </c>
      <c r="B28" s="8">
        <v>0.14774309531815499</v>
      </c>
      <c r="C28" s="9"/>
      <c r="D28" s="11"/>
    </row>
    <row r="29" spans="1:4" x14ac:dyDescent="0.35">
      <c r="A29" s="10" t="s">
        <v>40</v>
      </c>
      <c r="B29" s="8">
        <v>0.15636875801071601</v>
      </c>
      <c r="C29" s="9"/>
      <c r="D29" s="11"/>
    </row>
    <row r="30" spans="1:4" x14ac:dyDescent="0.35">
      <c r="A30" s="10" t="s">
        <v>41</v>
      </c>
      <c r="B30" s="8">
        <v>0.54234661177502497</v>
      </c>
      <c r="C30" s="9"/>
      <c r="D30" s="11"/>
    </row>
    <row r="31" spans="1:4" x14ac:dyDescent="0.35">
      <c r="A31" s="12" t="s">
        <v>42</v>
      </c>
      <c r="B31" s="8">
        <v>6.6148784028296007E-2</v>
      </c>
      <c r="C31" s="9"/>
      <c r="D31" s="11"/>
    </row>
    <row r="32" spans="1:4" x14ac:dyDescent="0.35">
      <c r="A32" s="7" t="s">
        <v>47</v>
      </c>
      <c r="B32" s="8">
        <f>SUM(B33:B37)</f>
        <v>0.99999999999999978</v>
      </c>
      <c r="C32" s="9"/>
    </row>
    <row r="33" spans="1:4" x14ac:dyDescent="0.35">
      <c r="A33" s="10" t="s">
        <v>38</v>
      </c>
      <c r="B33" s="8">
        <v>0.10610712657157199</v>
      </c>
      <c r="C33" s="9"/>
      <c r="D33" s="11"/>
    </row>
    <row r="34" spans="1:4" x14ac:dyDescent="0.35">
      <c r="A34" s="10" t="s">
        <v>39</v>
      </c>
      <c r="B34" s="8">
        <v>0.25626646334292902</v>
      </c>
      <c r="C34" s="9"/>
      <c r="D34" s="11"/>
    </row>
    <row r="35" spans="1:4" x14ac:dyDescent="0.35">
      <c r="A35" s="10" t="s">
        <v>40</v>
      </c>
      <c r="B35" s="8">
        <v>0.187721777278576</v>
      </c>
      <c r="C35" s="9"/>
      <c r="D35" s="11"/>
    </row>
    <row r="36" spans="1:4" x14ac:dyDescent="0.35">
      <c r="A36" s="10" t="s">
        <v>41</v>
      </c>
      <c r="B36" s="8">
        <v>0.37822978028670401</v>
      </c>
      <c r="C36" s="9"/>
      <c r="D36" s="11"/>
    </row>
    <row r="37" spans="1:4" x14ac:dyDescent="0.35">
      <c r="A37" s="13" t="s">
        <v>42</v>
      </c>
      <c r="B37" s="8">
        <v>7.1674852520218602E-2</v>
      </c>
      <c r="C37" s="9"/>
      <c r="D37" s="11"/>
    </row>
    <row r="38" spans="1:4" x14ac:dyDescent="0.35">
      <c r="A38" s="7" t="s">
        <v>48</v>
      </c>
      <c r="B38" s="8">
        <f>SUM(B39:B43)</f>
        <v>1.0000000000000009</v>
      </c>
      <c r="C38" s="9"/>
    </row>
    <row r="39" spans="1:4" x14ac:dyDescent="0.35">
      <c r="A39" s="10" t="s">
        <v>38</v>
      </c>
      <c r="B39" s="8">
        <v>7.1296713558858901E-2</v>
      </c>
      <c r="C39" s="9"/>
      <c r="D39" s="11"/>
    </row>
    <row r="40" spans="1:4" x14ac:dyDescent="0.35">
      <c r="A40" s="10" t="s">
        <v>39</v>
      </c>
      <c r="B40" s="8">
        <v>0.25969679144854302</v>
      </c>
      <c r="C40" s="9"/>
      <c r="D40" s="11"/>
    </row>
    <row r="41" spans="1:4" x14ac:dyDescent="0.35">
      <c r="A41" s="10" t="s">
        <v>40</v>
      </c>
      <c r="B41" s="8">
        <v>0.23214649714579999</v>
      </c>
      <c r="C41" s="9"/>
      <c r="D41" s="11"/>
    </row>
    <row r="42" spans="1:4" x14ac:dyDescent="0.35">
      <c r="A42" s="10" t="s">
        <v>41</v>
      </c>
      <c r="B42" s="8">
        <v>0.29632035897525899</v>
      </c>
      <c r="C42" s="9"/>
      <c r="D42" s="11"/>
    </row>
    <row r="43" spans="1:4" x14ac:dyDescent="0.35">
      <c r="A43" s="12" t="s">
        <v>42</v>
      </c>
      <c r="B43" s="8">
        <v>0.14053963887154</v>
      </c>
      <c r="C43" s="9"/>
      <c r="D43" s="11"/>
    </row>
    <row r="44" spans="1:4" x14ac:dyDescent="0.35">
      <c r="A44" s="7" t="s">
        <v>49</v>
      </c>
      <c r="B44" s="8">
        <f>SUM(B45:B49)</f>
        <v>1.0000000000000002</v>
      </c>
      <c r="C44" s="9"/>
    </row>
    <row r="45" spans="1:4" x14ac:dyDescent="0.35">
      <c r="A45" s="10" t="s">
        <v>38</v>
      </c>
      <c r="B45" s="8">
        <v>6.8605623417744899E-2</v>
      </c>
      <c r="C45" s="9"/>
      <c r="D45" s="11"/>
    </row>
    <row r="46" spans="1:4" x14ac:dyDescent="0.35">
      <c r="A46" s="10" t="s">
        <v>39</v>
      </c>
      <c r="B46" s="8">
        <v>0.184207446262144</v>
      </c>
      <c r="C46" s="9"/>
      <c r="D46" s="11"/>
    </row>
    <row r="47" spans="1:4" x14ac:dyDescent="0.35">
      <c r="A47" s="10" t="s">
        <v>40</v>
      </c>
      <c r="B47" s="8">
        <v>0.22938658751694099</v>
      </c>
      <c r="C47" s="9"/>
      <c r="D47" s="11"/>
    </row>
    <row r="48" spans="1:4" x14ac:dyDescent="0.35">
      <c r="A48" s="10" t="s">
        <v>41</v>
      </c>
      <c r="B48" s="8">
        <v>0.46754497344371898</v>
      </c>
      <c r="C48" s="9"/>
      <c r="D48" s="11"/>
    </row>
    <row r="49" spans="1:4" x14ac:dyDescent="0.35">
      <c r="A49" s="12" t="s">
        <v>42</v>
      </c>
      <c r="B49" s="8">
        <v>5.0255369359451303E-2</v>
      </c>
      <c r="C49" s="9"/>
      <c r="D49" s="11"/>
    </row>
    <row r="50" spans="1:4" x14ac:dyDescent="0.35">
      <c r="A50" s="7" t="s">
        <v>50</v>
      </c>
      <c r="B50" s="8">
        <f>SUM(B51:B55)</f>
        <v>1.0000000000000002</v>
      </c>
      <c r="C50" s="9"/>
    </row>
    <row r="51" spans="1:4" x14ac:dyDescent="0.35">
      <c r="A51" s="10" t="s">
        <v>38</v>
      </c>
      <c r="B51" s="8">
        <v>9.0972055811102306E-2</v>
      </c>
      <c r="C51" s="9"/>
      <c r="D51" s="11"/>
    </row>
    <row r="52" spans="1:4" x14ac:dyDescent="0.35">
      <c r="A52" s="10" t="s">
        <v>39</v>
      </c>
      <c r="B52" s="8">
        <v>0.22418320756695401</v>
      </c>
      <c r="C52" s="9"/>
      <c r="D52" s="11"/>
    </row>
    <row r="53" spans="1:4" x14ac:dyDescent="0.35">
      <c r="A53" s="10" t="s">
        <v>40</v>
      </c>
      <c r="B53" s="8">
        <v>0.17704448797392799</v>
      </c>
      <c r="C53" s="9"/>
      <c r="D53" s="11"/>
    </row>
    <row r="54" spans="1:4" x14ac:dyDescent="0.35">
      <c r="A54" s="10" t="s">
        <v>41</v>
      </c>
      <c r="B54" s="8">
        <v>0.46109990010509699</v>
      </c>
      <c r="C54" s="9"/>
      <c r="D54" s="11"/>
    </row>
    <row r="55" spans="1:4" x14ac:dyDescent="0.35">
      <c r="A55" s="13" t="s">
        <v>42</v>
      </c>
      <c r="B55" s="8">
        <v>4.6700348542918997E-2</v>
      </c>
      <c r="C55" s="9"/>
      <c r="D55" s="11"/>
    </row>
    <row r="56" spans="1:4" x14ac:dyDescent="0.35">
      <c r="A56" s="7" t="s">
        <v>51</v>
      </c>
      <c r="B56" s="8">
        <f>SUM(B57:B61)</f>
        <v>1</v>
      </c>
      <c r="C56" s="9"/>
    </row>
    <row r="57" spans="1:4" x14ac:dyDescent="0.35">
      <c r="A57" s="10" t="s">
        <v>38</v>
      </c>
      <c r="B57" s="8">
        <v>8.8923796717949602E-2</v>
      </c>
      <c r="C57" s="9"/>
      <c r="D57" s="11"/>
    </row>
    <row r="58" spans="1:4" x14ac:dyDescent="0.35">
      <c r="A58" s="10" t="s">
        <v>39</v>
      </c>
      <c r="B58" s="8">
        <v>0.22018851691005001</v>
      </c>
      <c r="C58" s="9"/>
      <c r="D58" s="11"/>
    </row>
    <row r="59" spans="1:4" x14ac:dyDescent="0.35">
      <c r="A59" s="10" t="s">
        <v>40</v>
      </c>
      <c r="B59" s="8">
        <v>0.17274451754237199</v>
      </c>
      <c r="C59" s="9"/>
      <c r="D59" s="11"/>
    </row>
    <row r="60" spans="1:4" x14ac:dyDescent="0.35">
      <c r="A60" s="10" t="s">
        <v>41</v>
      </c>
      <c r="B60" s="8">
        <v>0.43211751737758902</v>
      </c>
      <c r="C60" s="9"/>
      <c r="D60" s="11"/>
    </row>
    <row r="61" spans="1:4" x14ac:dyDescent="0.35">
      <c r="A61" s="12" t="s">
        <v>42</v>
      </c>
      <c r="B61" s="8">
        <v>8.6025651452039498E-2</v>
      </c>
      <c r="C61" s="9"/>
      <c r="D61" s="11"/>
    </row>
    <row r="62" spans="1:4" x14ac:dyDescent="0.35">
      <c r="A62" s="7" t="s">
        <v>52</v>
      </c>
      <c r="B62" s="8">
        <f>SUM(B63:B67)</f>
        <v>0.99999999999999911</v>
      </c>
      <c r="C62" s="9"/>
    </row>
    <row r="63" spans="1:4" x14ac:dyDescent="0.35">
      <c r="A63" s="10" t="s">
        <v>38</v>
      </c>
      <c r="B63" s="8">
        <v>0.114149427510916</v>
      </c>
      <c r="C63" s="9"/>
      <c r="D63" s="11"/>
    </row>
    <row r="64" spans="1:4" x14ac:dyDescent="0.35">
      <c r="A64" s="10" t="s">
        <v>39</v>
      </c>
      <c r="B64" s="8">
        <v>0.17727641574394601</v>
      </c>
      <c r="C64" s="9"/>
      <c r="D64" s="11"/>
    </row>
    <row r="65" spans="1:4" x14ac:dyDescent="0.35">
      <c r="A65" s="10" t="s">
        <v>40</v>
      </c>
      <c r="B65" s="8">
        <v>0.16772977553268101</v>
      </c>
      <c r="C65" s="9"/>
      <c r="D65" s="11"/>
    </row>
    <row r="66" spans="1:4" x14ac:dyDescent="0.35">
      <c r="A66" s="10" t="s">
        <v>41</v>
      </c>
      <c r="B66" s="8">
        <v>0.46883591371019201</v>
      </c>
      <c r="C66" s="9"/>
      <c r="D66" s="11"/>
    </row>
    <row r="67" spans="1:4" x14ac:dyDescent="0.35">
      <c r="A67" s="12" t="s">
        <v>42</v>
      </c>
      <c r="B67" s="8">
        <v>7.2008467502264098E-2</v>
      </c>
      <c r="C67" s="9"/>
      <c r="D67" s="11"/>
    </row>
    <row r="68" spans="1:4" x14ac:dyDescent="0.35">
      <c r="A68" s="7" t="s">
        <v>53</v>
      </c>
      <c r="B68" s="8">
        <f>SUM(B69:B73)</f>
        <v>1</v>
      </c>
      <c r="C68" s="9"/>
    </row>
    <row r="69" spans="1:4" x14ac:dyDescent="0.35">
      <c r="A69" s="10" t="s">
        <v>38</v>
      </c>
      <c r="B69" s="8">
        <v>0.103543428784365</v>
      </c>
      <c r="C69" s="9"/>
      <c r="D69" s="11"/>
    </row>
    <row r="70" spans="1:4" x14ac:dyDescent="0.35">
      <c r="A70" s="10" t="s">
        <v>39</v>
      </c>
      <c r="B70" s="8">
        <v>0.27973981282670901</v>
      </c>
      <c r="C70" s="9"/>
      <c r="D70" s="11"/>
    </row>
    <row r="71" spans="1:4" x14ac:dyDescent="0.35">
      <c r="A71" s="10" t="s">
        <v>40</v>
      </c>
      <c r="B71" s="8">
        <v>0.209707773359326</v>
      </c>
      <c r="C71" s="9"/>
      <c r="D71" s="11"/>
    </row>
    <row r="72" spans="1:4" x14ac:dyDescent="0.35">
      <c r="A72" s="10" t="s">
        <v>41</v>
      </c>
      <c r="B72" s="8">
        <v>0.24556881733472299</v>
      </c>
      <c r="C72" s="9"/>
      <c r="D72" s="11"/>
    </row>
    <row r="73" spans="1:4" x14ac:dyDescent="0.35">
      <c r="A73" s="13" t="s">
        <v>42</v>
      </c>
      <c r="B73" s="8">
        <v>0.16144016769487701</v>
      </c>
      <c r="C73" s="9"/>
      <c r="D73" s="11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showGridLines="0" tabSelected="1" topLeftCell="A7" zoomScale="85" zoomScaleNormal="85" workbookViewId="0">
      <selection activeCell="E20" sqref="E20"/>
    </sheetView>
  </sheetViews>
  <sheetFormatPr defaultColWidth="9.54296875" defaultRowHeight="14.5" x14ac:dyDescent="0.35"/>
  <cols>
    <col min="1" max="1" width="11.54296875" customWidth="1"/>
    <col min="2" max="2" width="74.453125" customWidth="1"/>
    <col min="3" max="3" width="31.26953125" customWidth="1"/>
  </cols>
  <sheetData>
    <row r="1" spans="1:3" x14ac:dyDescent="0.35">
      <c r="A1" s="14" t="s">
        <v>54</v>
      </c>
      <c r="B1" s="14" t="s">
        <v>55</v>
      </c>
      <c r="C1" s="14" t="s">
        <v>56</v>
      </c>
    </row>
    <row r="2" spans="1:3" x14ac:dyDescent="0.35">
      <c r="A2" s="15" t="s">
        <v>57</v>
      </c>
      <c r="B2" s="15" t="s">
        <v>38</v>
      </c>
      <c r="C2" s="16">
        <v>8.2351118041383398E-2</v>
      </c>
    </row>
    <row r="3" spans="1:3" x14ac:dyDescent="0.35">
      <c r="A3" s="17" t="s">
        <v>58</v>
      </c>
      <c r="B3" s="17" t="s">
        <v>59</v>
      </c>
      <c r="C3" s="18">
        <v>7.0351047625629506E-2</v>
      </c>
    </row>
    <row r="4" spans="1:3" x14ac:dyDescent="0.35">
      <c r="A4" s="17" t="s">
        <v>60</v>
      </c>
      <c r="B4" s="17" t="s">
        <v>61</v>
      </c>
      <c r="C4" s="18">
        <v>1.51855496930216E-2</v>
      </c>
    </row>
    <row r="5" spans="1:3" x14ac:dyDescent="0.35">
      <c r="A5" s="17" t="s">
        <v>62</v>
      </c>
      <c r="B5" s="17" t="s">
        <v>63</v>
      </c>
      <c r="C5" s="18">
        <v>5.5165497932607797E-2</v>
      </c>
    </row>
    <row r="6" spans="1:3" x14ac:dyDescent="0.35">
      <c r="A6" s="17" t="s">
        <v>64</v>
      </c>
      <c r="B6" s="17" t="s">
        <v>65</v>
      </c>
      <c r="C6" s="18">
        <v>1.20000704157537E-2</v>
      </c>
    </row>
    <row r="7" spans="1:3" x14ac:dyDescent="0.35">
      <c r="A7" s="15" t="s">
        <v>66</v>
      </c>
      <c r="B7" s="15" t="s">
        <v>39</v>
      </c>
      <c r="C7" s="16">
        <v>0.234581682477152</v>
      </c>
    </row>
    <row r="8" spans="1:3" x14ac:dyDescent="0.35">
      <c r="A8" s="17" t="s">
        <v>67</v>
      </c>
      <c r="B8" s="17" t="s">
        <v>140</v>
      </c>
      <c r="C8" s="18">
        <v>0.206884934710927</v>
      </c>
    </row>
    <row r="9" spans="1:3" x14ac:dyDescent="0.35">
      <c r="A9" s="17" t="s">
        <v>68</v>
      </c>
      <c r="B9" s="17" t="s">
        <v>69</v>
      </c>
      <c r="C9" s="18">
        <v>0.107806224549428</v>
      </c>
    </row>
    <row r="10" spans="1:3" x14ac:dyDescent="0.35">
      <c r="A10" s="17" t="s">
        <v>70</v>
      </c>
      <c r="B10" s="17" t="s">
        <v>141</v>
      </c>
      <c r="C10" s="18">
        <v>9.9078710161498898E-2</v>
      </c>
    </row>
    <row r="11" spans="1:3" x14ac:dyDescent="0.35">
      <c r="A11" s="17" t="s">
        <v>71</v>
      </c>
      <c r="B11" s="17" t="s">
        <v>72</v>
      </c>
      <c r="C11" s="18">
        <v>2.7696747766225199E-2</v>
      </c>
    </row>
    <row r="12" spans="1:3" x14ac:dyDescent="0.35">
      <c r="A12" s="15" t="s">
        <v>73</v>
      </c>
      <c r="B12" s="15" t="s">
        <v>142</v>
      </c>
      <c r="C12" s="16">
        <v>0.21670548782343099</v>
      </c>
    </row>
    <row r="13" spans="1:3" x14ac:dyDescent="0.35">
      <c r="A13" s="17" t="s">
        <v>74</v>
      </c>
      <c r="B13" s="17" t="s">
        <v>75</v>
      </c>
      <c r="C13" s="18">
        <v>8.3766068436243998E-2</v>
      </c>
    </row>
    <row r="14" spans="1:3" x14ac:dyDescent="0.35">
      <c r="A14" s="17" t="s">
        <v>76</v>
      </c>
      <c r="B14" s="17" t="s">
        <v>77</v>
      </c>
      <c r="C14" s="18">
        <v>0.13293941938718701</v>
      </c>
    </row>
    <row r="15" spans="1:3" x14ac:dyDescent="0.35">
      <c r="A15" s="17" t="s">
        <v>78</v>
      </c>
      <c r="B15" s="17" t="s">
        <v>79</v>
      </c>
      <c r="C15" s="18">
        <v>2.8874252769262601E-2</v>
      </c>
    </row>
    <row r="16" spans="1:3" x14ac:dyDescent="0.35">
      <c r="A16" s="17" t="s">
        <v>80</v>
      </c>
      <c r="B16" s="17" t="s">
        <v>81</v>
      </c>
      <c r="C16" s="18">
        <v>0.104065166617924</v>
      </c>
    </row>
    <row r="17" spans="1:3" x14ac:dyDescent="0.35">
      <c r="A17" s="15" t="s">
        <v>82</v>
      </c>
      <c r="B17" s="15" t="s">
        <v>83</v>
      </c>
      <c r="C17" s="16">
        <v>0.36402337814479402</v>
      </c>
    </row>
    <row r="18" spans="1:3" x14ac:dyDescent="0.35">
      <c r="A18" s="17" t="s">
        <v>84</v>
      </c>
      <c r="B18" s="17" t="s">
        <v>85</v>
      </c>
      <c r="C18" s="18">
        <v>0.20799423663257099</v>
      </c>
    </row>
    <row r="19" spans="1:3" x14ac:dyDescent="0.35">
      <c r="A19" s="17" t="s">
        <v>86</v>
      </c>
      <c r="B19" s="17" t="s">
        <v>87</v>
      </c>
      <c r="C19" s="18">
        <v>0.127484337647437</v>
      </c>
    </row>
    <row r="20" spans="1:3" x14ac:dyDescent="0.35">
      <c r="A20" s="17" t="s">
        <v>88</v>
      </c>
      <c r="B20" s="17" t="s">
        <v>89</v>
      </c>
      <c r="C20" s="18">
        <v>4.8253869059848603E-2</v>
      </c>
    </row>
    <row r="21" spans="1:3" x14ac:dyDescent="0.35">
      <c r="A21" s="17" t="s">
        <v>90</v>
      </c>
      <c r="B21" s="17" t="s">
        <v>91</v>
      </c>
      <c r="C21" s="18">
        <v>3.2256029925284799E-2</v>
      </c>
    </row>
    <row r="22" spans="1:3" x14ac:dyDescent="0.35">
      <c r="A22" s="17" t="s">
        <v>92</v>
      </c>
      <c r="B22" s="17" t="s">
        <v>93</v>
      </c>
      <c r="C22" s="18">
        <v>1.8732758365163901E-2</v>
      </c>
    </row>
    <row r="23" spans="1:3" x14ac:dyDescent="0.35">
      <c r="A23" s="17" t="s">
        <v>94</v>
      </c>
      <c r="B23" s="17" t="s">
        <v>95</v>
      </c>
      <c r="C23" s="18">
        <v>3.1784921741189201E-2</v>
      </c>
    </row>
    <row r="24" spans="1:3" x14ac:dyDescent="0.35">
      <c r="A24" s="17" t="s">
        <v>96</v>
      </c>
      <c r="B24" s="17" t="s">
        <v>97</v>
      </c>
      <c r="C24" s="18">
        <v>0.105511461405871</v>
      </c>
    </row>
    <row r="25" spans="1:3" x14ac:dyDescent="0.35">
      <c r="A25" s="15" t="s">
        <v>98</v>
      </c>
      <c r="B25" s="15" t="s">
        <v>42</v>
      </c>
      <c r="C25" s="16">
        <v>0.10233833351324</v>
      </c>
    </row>
    <row r="26" spans="1:3" x14ac:dyDescent="0.35">
      <c r="A26" s="17" t="s">
        <v>99</v>
      </c>
      <c r="B26" s="17" t="s">
        <v>100</v>
      </c>
      <c r="C26" s="18">
        <v>1.4015390341733099E-2</v>
      </c>
    </row>
    <row r="27" spans="1:3" x14ac:dyDescent="0.35">
      <c r="A27" s="17" t="s">
        <v>101</v>
      </c>
      <c r="B27" s="17" t="s">
        <v>102</v>
      </c>
      <c r="C27" s="18">
        <v>7.2082510054290103E-2</v>
      </c>
    </row>
    <row r="28" spans="1:3" x14ac:dyDescent="0.35">
      <c r="A28" s="17" t="s">
        <v>103</v>
      </c>
      <c r="B28" s="17" t="s">
        <v>104</v>
      </c>
      <c r="C28" s="18">
        <v>8.6946924964081008E-3</v>
      </c>
    </row>
    <row r="29" spans="1:3" x14ac:dyDescent="0.35">
      <c r="A29" s="17" t="s">
        <v>105</v>
      </c>
      <c r="B29" s="17" t="s">
        <v>106</v>
      </c>
      <c r="C29" s="18">
        <v>7.5457406208089099E-3</v>
      </c>
    </row>
    <row r="30" spans="1:3" x14ac:dyDescent="0.35">
      <c r="A30" s="19"/>
      <c r="B30" s="20" t="s">
        <v>34</v>
      </c>
      <c r="C30" s="21">
        <f>SUM(C2,C7,C12,C17,C25)</f>
        <v>1.0000000000000004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showGridLines="0" zoomScaleNormal="100" workbookViewId="0">
      <selection activeCell="A17" sqref="A17:A20"/>
    </sheetView>
  </sheetViews>
  <sheetFormatPr defaultColWidth="9.54296875" defaultRowHeight="14.5" x14ac:dyDescent="0.35"/>
  <cols>
    <col min="1" max="1" width="27.54296875" customWidth="1"/>
    <col min="2" max="2" width="83.26953125" customWidth="1"/>
    <col min="3" max="3" width="27.453125" style="22" customWidth="1"/>
  </cols>
  <sheetData>
    <row r="1" spans="1:3" x14ac:dyDescent="0.35">
      <c r="A1" s="23" t="s">
        <v>107</v>
      </c>
      <c r="B1" s="2" t="s">
        <v>108</v>
      </c>
      <c r="C1" s="2" t="s">
        <v>56</v>
      </c>
    </row>
    <row r="2" spans="1:3" ht="15" customHeight="1" x14ac:dyDescent="0.35">
      <c r="A2" s="37" t="s">
        <v>109</v>
      </c>
      <c r="B2" s="24" t="s">
        <v>110</v>
      </c>
      <c r="C2" s="25">
        <f>'ADs_Setores e Subsetores'!C4</f>
        <v>1.51855496930216E-2</v>
      </c>
    </row>
    <row r="3" spans="1:3" x14ac:dyDescent="0.35">
      <c r="A3" s="37"/>
      <c r="B3" t="s">
        <v>111</v>
      </c>
      <c r="C3" s="25">
        <f>'ADs_Setores e Subsetores'!C5</f>
        <v>5.5165497932607797E-2</v>
      </c>
    </row>
    <row r="4" spans="1:3" ht="15.5" x14ac:dyDescent="0.35">
      <c r="A4" s="37"/>
      <c r="B4" s="26" t="s">
        <v>112</v>
      </c>
      <c r="C4" s="27">
        <f>'ADs_Setores e Subsetores'!C6</f>
        <v>1.20000704157537E-2</v>
      </c>
    </row>
    <row r="5" spans="1:3" ht="15.75" customHeight="1" x14ac:dyDescent="0.35">
      <c r="A5" s="38" t="s">
        <v>113</v>
      </c>
      <c r="B5" s="28" t="s">
        <v>114</v>
      </c>
      <c r="C5" s="29">
        <f>'ADs_Setores e Subsetores'!C9</f>
        <v>0.107806224549428</v>
      </c>
    </row>
    <row r="6" spans="1:3" ht="15.5" x14ac:dyDescent="0.35">
      <c r="A6" s="38"/>
      <c r="B6" s="30" t="s">
        <v>115</v>
      </c>
      <c r="C6" s="25">
        <f>'ADs_Setores e Subsetores'!C10</f>
        <v>9.9078710161498898E-2</v>
      </c>
    </row>
    <row r="7" spans="1:3" ht="15.5" x14ac:dyDescent="0.35">
      <c r="A7" s="38"/>
      <c r="B7" s="26" t="s">
        <v>116</v>
      </c>
      <c r="C7" s="27">
        <f>'ADs_Setores e Subsetores'!C11</f>
        <v>2.7696747766225199E-2</v>
      </c>
    </row>
    <row r="8" spans="1:3" ht="15.75" customHeight="1" x14ac:dyDescent="0.35">
      <c r="A8" s="39" t="s">
        <v>117</v>
      </c>
      <c r="B8" s="28" t="s">
        <v>118</v>
      </c>
      <c r="C8" s="29">
        <f>'ADs_Setores e Subsetores'!C13</f>
        <v>8.3766068436243998E-2</v>
      </c>
    </row>
    <row r="9" spans="1:3" ht="15.5" x14ac:dyDescent="0.35">
      <c r="A9" s="39"/>
      <c r="B9" s="30" t="s">
        <v>119</v>
      </c>
      <c r="C9" s="25">
        <f>'ADs_Setores e Subsetores'!C15</f>
        <v>2.8874252769262601E-2</v>
      </c>
    </row>
    <row r="10" spans="1:3" x14ac:dyDescent="0.35">
      <c r="A10" s="39"/>
      <c r="B10" s="31" t="s">
        <v>120</v>
      </c>
      <c r="C10" s="27">
        <f>'ADs_Setores e Subsetores'!C16</f>
        <v>0.104065166617924</v>
      </c>
    </row>
    <row r="11" spans="1:3" ht="15.75" customHeight="1" x14ac:dyDescent="0.35">
      <c r="A11" s="40" t="s">
        <v>121</v>
      </c>
      <c r="B11" s="28" t="s">
        <v>122</v>
      </c>
      <c r="C11" s="29">
        <f>'ADs_Setores e Subsetores'!C19</f>
        <v>0.127484337647437</v>
      </c>
    </row>
    <row r="12" spans="1:3" ht="15.5" x14ac:dyDescent="0.35">
      <c r="A12" s="40"/>
      <c r="B12" s="30" t="s">
        <v>123</v>
      </c>
      <c r="C12" s="25">
        <f>'ADs_Setores e Subsetores'!C20</f>
        <v>4.8253869059848603E-2</v>
      </c>
    </row>
    <row r="13" spans="1:3" ht="15.5" x14ac:dyDescent="0.35">
      <c r="A13" s="40"/>
      <c r="B13" s="30" t="s">
        <v>124</v>
      </c>
      <c r="C13" s="25">
        <f>'ADs_Setores e Subsetores'!C21</f>
        <v>3.2256029925284799E-2</v>
      </c>
    </row>
    <row r="14" spans="1:3" ht="15.5" x14ac:dyDescent="0.35">
      <c r="A14" s="40"/>
      <c r="B14" s="30" t="s">
        <v>125</v>
      </c>
      <c r="C14" s="25">
        <f>'ADs_Setores e Subsetores'!C22</f>
        <v>1.8732758365163901E-2</v>
      </c>
    </row>
    <row r="15" spans="1:3" ht="15.5" x14ac:dyDescent="0.35">
      <c r="A15" s="40"/>
      <c r="B15" s="30" t="s">
        <v>126</v>
      </c>
      <c r="C15" s="25">
        <f>'ADs_Setores e Subsetores'!C23</f>
        <v>3.1784921741189201E-2</v>
      </c>
    </row>
    <row r="16" spans="1:3" ht="15.5" x14ac:dyDescent="0.35">
      <c r="A16" s="40"/>
      <c r="B16" s="26" t="s">
        <v>127</v>
      </c>
      <c r="C16" s="27">
        <f>'ADs_Setores e Subsetores'!C24</f>
        <v>0.105511461405871</v>
      </c>
    </row>
    <row r="17" spans="1:3" ht="15.75" customHeight="1" x14ac:dyDescent="0.35">
      <c r="A17" s="41" t="s">
        <v>42</v>
      </c>
      <c r="B17" s="30" t="s">
        <v>128</v>
      </c>
      <c r="C17" s="25">
        <f>'ADs_Setores e Subsetores'!C26</f>
        <v>1.4015390341733099E-2</v>
      </c>
    </row>
    <row r="18" spans="1:3" ht="15.5" x14ac:dyDescent="0.35">
      <c r="A18" s="41"/>
      <c r="B18" s="30" t="s">
        <v>129</v>
      </c>
      <c r="C18" s="25">
        <f>'ADs_Setores e Subsetores'!C27</f>
        <v>7.2082510054290103E-2</v>
      </c>
    </row>
    <row r="19" spans="1:3" ht="15.5" x14ac:dyDescent="0.35">
      <c r="A19" s="41"/>
      <c r="B19" s="30" t="s">
        <v>130</v>
      </c>
      <c r="C19" s="25">
        <f>'ADs_Setores e Subsetores'!C28</f>
        <v>8.6946924964081008E-3</v>
      </c>
    </row>
    <row r="20" spans="1:3" ht="15.5" x14ac:dyDescent="0.35">
      <c r="A20" s="41"/>
      <c r="B20" s="30" t="s">
        <v>131</v>
      </c>
      <c r="C20" s="25">
        <f>'ADs_Setores e Subsetores'!C29</f>
        <v>7.5457406208089099E-3</v>
      </c>
    </row>
    <row r="21" spans="1:3" x14ac:dyDescent="0.35">
      <c r="A21" s="19"/>
      <c r="B21" s="4" t="s">
        <v>34</v>
      </c>
      <c r="C21" s="32">
        <f>SUM(C2:C20)</f>
        <v>1.0000000000000002</v>
      </c>
    </row>
    <row r="22" spans="1:3" x14ac:dyDescent="0.35">
      <c r="C22" s="25"/>
    </row>
    <row r="23" spans="1:3" x14ac:dyDescent="0.35">
      <c r="C23" s="25"/>
    </row>
    <row r="24" spans="1:3" x14ac:dyDescent="0.35">
      <c r="C24" s="25"/>
    </row>
    <row r="25" spans="1:3" x14ac:dyDescent="0.35">
      <c r="C25" s="25"/>
    </row>
    <row r="26" spans="1:3" x14ac:dyDescent="0.35">
      <c r="C26" s="25"/>
    </row>
    <row r="27" spans="1:3" x14ac:dyDescent="0.35">
      <c r="C27" s="25"/>
    </row>
    <row r="28" spans="1:3" x14ac:dyDescent="0.35">
      <c r="C28" s="25"/>
    </row>
    <row r="29" spans="1:3" x14ac:dyDescent="0.35">
      <c r="C29" s="25"/>
    </row>
  </sheetData>
  <mergeCells count="5">
    <mergeCell ref="A2:A4"/>
    <mergeCell ref="A5:A7"/>
    <mergeCell ref="A8:A10"/>
    <mergeCell ref="A11:A16"/>
    <mergeCell ref="A17:A2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showGridLines="0" zoomScaleNormal="100" workbookViewId="0">
      <selection activeCell="A18" sqref="A18"/>
    </sheetView>
  </sheetViews>
  <sheetFormatPr defaultColWidth="10.1796875" defaultRowHeight="14.5" x14ac:dyDescent="0.35"/>
  <cols>
    <col min="1" max="1" width="24.453125" style="22" customWidth="1"/>
    <col min="2" max="2" width="27.453125" style="22" customWidth="1"/>
    <col min="3" max="16384" width="10.1796875" style="22"/>
  </cols>
  <sheetData>
    <row r="1" spans="1:2" x14ac:dyDescent="0.35">
      <c r="A1" s="6" t="s">
        <v>5</v>
      </c>
      <c r="B1" s="6" t="s">
        <v>132</v>
      </c>
    </row>
    <row r="2" spans="1:2" x14ac:dyDescent="0.35">
      <c r="A2" s="33" t="s">
        <v>34</v>
      </c>
      <c r="B2" s="34">
        <v>1</v>
      </c>
    </row>
    <row r="3" spans="1:2" x14ac:dyDescent="0.35">
      <c r="A3" s="33" t="s">
        <v>133</v>
      </c>
      <c r="B3" s="34">
        <v>1.55E-2</v>
      </c>
    </row>
    <row r="4" spans="1:2" x14ac:dyDescent="0.35">
      <c r="A4" s="33" t="s">
        <v>134</v>
      </c>
      <c r="B4" s="34">
        <v>1.4999999999999999E-2</v>
      </c>
    </row>
    <row r="5" spans="1:2" ht="15" customHeight="1" x14ac:dyDescent="0.35">
      <c r="A5" s="35" t="s">
        <v>37</v>
      </c>
      <c r="B5" s="34">
        <v>2.32097833007745E-2</v>
      </c>
    </row>
    <row r="6" spans="1:2" ht="15" customHeight="1" x14ac:dyDescent="0.35">
      <c r="A6" s="35" t="s">
        <v>135</v>
      </c>
      <c r="B6" s="34">
        <v>9.9000000000000008E-3</v>
      </c>
    </row>
    <row r="7" spans="1:2" ht="15" customHeight="1" x14ac:dyDescent="0.35">
      <c r="A7" s="35" t="s">
        <v>43</v>
      </c>
      <c r="B7" s="34">
        <v>3.4223666588312003E-2</v>
      </c>
    </row>
    <row r="8" spans="1:2" ht="15" customHeight="1" x14ac:dyDescent="0.35">
      <c r="A8" s="35" t="s">
        <v>136</v>
      </c>
      <c r="B8" s="34">
        <v>1.21E-2</v>
      </c>
    </row>
    <row r="9" spans="1:2" ht="15" customHeight="1" x14ac:dyDescent="0.35">
      <c r="A9" s="35" t="s">
        <v>44</v>
      </c>
      <c r="B9" s="34">
        <v>4.8150593608547697E-2</v>
      </c>
    </row>
    <row r="10" spans="1:2" ht="15" customHeight="1" x14ac:dyDescent="0.35">
      <c r="A10" s="35" t="s">
        <v>45</v>
      </c>
      <c r="B10" s="34">
        <v>8.1210371352326505E-2</v>
      </c>
    </row>
    <row r="11" spans="1:2" ht="15" customHeight="1" x14ac:dyDescent="0.35">
      <c r="A11" s="35" t="s">
        <v>46</v>
      </c>
      <c r="B11" s="34">
        <v>1.61316007050827E-2</v>
      </c>
    </row>
    <row r="12" spans="1:2" ht="15" customHeight="1" x14ac:dyDescent="0.35">
      <c r="A12" s="35" t="s">
        <v>47</v>
      </c>
      <c r="B12" s="34">
        <v>0.12427083733401199</v>
      </c>
    </row>
    <row r="13" spans="1:2" ht="15" customHeight="1" x14ac:dyDescent="0.35">
      <c r="A13" s="35" t="s">
        <v>48</v>
      </c>
      <c r="B13" s="34">
        <v>0.38955161205976402</v>
      </c>
    </row>
    <row r="14" spans="1:2" ht="15" customHeight="1" x14ac:dyDescent="0.35">
      <c r="A14" s="35" t="s">
        <v>49</v>
      </c>
      <c r="B14" s="34">
        <v>4.3288375699913097E-2</v>
      </c>
    </row>
    <row r="15" spans="1:2" ht="15" customHeight="1" x14ac:dyDescent="0.35">
      <c r="A15" s="35" t="s">
        <v>50</v>
      </c>
      <c r="B15" s="34">
        <v>3.2611478819903499E-2</v>
      </c>
    </row>
    <row r="16" spans="1:2" ht="15" customHeight="1" x14ac:dyDescent="0.35">
      <c r="A16" s="35" t="s">
        <v>51</v>
      </c>
      <c r="B16" s="34">
        <v>4.2601586617831602E-2</v>
      </c>
    </row>
    <row r="17" spans="1:2" ht="15" customHeight="1" x14ac:dyDescent="0.35">
      <c r="A17" s="35" t="s">
        <v>137</v>
      </c>
      <c r="B17" s="34">
        <v>1.3100000000000001E-2</v>
      </c>
    </row>
    <row r="18" spans="1:2" ht="15" customHeight="1" x14ac:dyDescent="0.35">
      <c r="A18" s="35" t="s">
        <v>52</v>
      </c>
      <c r="B18" s="34">
        <v>2.2336501165137301E-2</v>
      </c>
    </row>
    <row r="19" spans="1:2" ht="15" customHeight="1" x14ac:dyDescent="0.35">
      <c r="A19" s="35" t="s">
        <v>138</v>
      </c>
      <c r="B19" s="34">
        <v>3.5986648066072199E-2</v>
      </c>
    </row>
    <row r="20" spans="1:2" ht="15" customHeight="1" x14ac:dyDescent="0.35">
      <c r="A20" s="36" t="s">
        <v>139</v>
      </c>
      <c r="B20" s="34">
        <v>4.07E-2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Legenda</vt:lpstr>
      <vt:lpstr>Brasil e UFs</vt:lpstr>
      <vt:lpstr>UF_AD</vt:lpstr>
      <vt:lpstr>ADs_Setores e Subsetores</vt:lpstr>
      <vt:lpstr>Segmentos</vt:lpstr>
      <vt:lpstr>Turismo_UFs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Correa Lobo</dc:creator>
  <cp:keywords/>
  <dc:description/>
  <cp:lastModifiedBy>Davi Lisboa Da Silva</cp:lastModifiedBy>
  <cp:revision>2</cp:revision>
  <dcterms:created xsi:type="dcterms:W3CDTF">2018-09-26T15:13:42Z</dcterms:created>
  <dcterms:modified xsi:type="dcterms:W3CDTF">2026-03-10T14:36:08Z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a73fae-5dbd-458a-93e0-5fdf739dc18f_Enabled">
    <vt:lpwstr>true</vt:lpwstr>
  </property>
  <property fmtid="{D5CDD505-2E9C-101B-9397-08002B2CF9AE}" pid="3" name="MSIP_Label_f6a73fae-5dbd-458a-93e0-5fdf739dc18f_SetDate">
    <vt:lpwstr>2026-03-10T14:36:06Z</vt:lpwstr>
  </property>
  <property fmtid="{D5CDD505-2E9C-101B-9397-08002B2CF9AE}" pid="4" name="MSIP_Label_f6a73fae-5dbd-458a-93e0-5fdf739dc18f_Method">
    <vt:lpwstr>Privileged</vt:lpwstr>
  </property>
  <property fmtid="{D5CDD505-2E9C-101B-9397-08002B2CF9AE}" pid="5" name="MSIP_Label_f6a73fae-5dbd-458a-93e0-5fdf739dc18f_Name">
    <vt:lpwstr>f6a73fae-5dbd-458a-93e0-5fdf739dc18f</vt:lpwstr>
  </property>
  <property fmtid="{D5CDD505-2E9C-101B-9397-08002B2CF9AE}" pid="6" name="MSIP_Label_f6a73fae-5dbd-458a-93e0-5fdf739dc18f_SiteId">
    <vt:lpwstr>7575b092-fc5f-4f6c-b7a5-9e9ef7aca80d</vt:lpwstr>
  </property>
  <property fmtid="{D5CDD505-2E9C-101B-9397-08002B2CF9AE}" pid="7" name="MSIP_Label_f6a73fae-5dbd-458a-93e0-5fdf739dc18f_ActionId">
    <vt:lpwstr>1d008bbc-f7aa-4703-ac32-1e3c5aa1e5e2</vt:lpwstr>
  </property>
  <property fmtid="{D5CDD505-2E9C-101B-9397-08002B2CF9AE}" pid="8" name="MSIP_Label_f6a73fae-5dbd-458a-93e0-5fdf739dc18f_ContentBits">
    <vt:lpwstr>0</vt:lpwstr>
  </property>
  <property fmtid="{D5CDD505-2E9C-101B-9397-08002B2CF9AE}" pid="9" name="MSIP_Label_f6a73fae-5dbd-458a-93e0-5fdf739dc18f_Tag">
    <vt:lpwstr>10, 0, 1, 1</vt:lpwstr>
  </property>
</Properties>
</file>